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id" sheetId="2" state="visible" r:id="rId2"/>
    <sheet name="Organic" sheetId="3" state="visible" r:id="rId3"/>
  </sheets>
  <definedNames>
    <definedName name="_xlnm._FilterDatabase" localSheetId="1" hidden="1">'Paid'!$A$4:$J$4</definedName>
    <definedName name="_xlnm._FilterDatabase" localSheetId="2" hidden="1">'Organic'!$A$4:$J$4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 mmm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24A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31F2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BB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9" fontId="4" fillId="0" borderId="1" pivotButton="0" quotePrefix="0" xfId="0"/>
    <xf numFmtId="0" fontId="5" fillId="0" borderId="1" pivotButton="0" quotePrefix="0" xfId="0"/>
    <xf numFmtId="9" fontId="5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Arial"/>
        <strike val="1"/>
        <color rgb="009A969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BFCM 2026 · Deliverables progress</t>
        </is>
      </c>
    </row>
    <row r="2">
      <c r="A2" s="2" t="inlineStr">
        <is>
          <t>Counts update from the Done column on the Paid and Organic tabs.</t>
        </is>
      </c>
    </row>
    <row r="4">
      <c r="A4" s="3" t="inlineStr">
        <is>
          <t>Group</t>
        </is>
      </c>
      <c r="B4" s="3" t="inlineStr">
        <is>
          <t>Sheet</t>
        </is>
      </c>
      <c r="C4" s="3" t="inlineStr">
        <is>
          <t>Total</t>
        </is>
      </c>
      <c r="D4" s="3" t="inlineStr">
        <is>
          <t>Done</t>
        </is>
      </c>
      <c r="E4" s="3" t="inlineStr">
        <is>
          <t>% done</t>
        </is>
      </c>
    </row>
    <row r="5">
      <c r="A5" s="4" t="inlineStr">
        <is>
          <t>Hype</t>
        </is>
      </c>
      <c r="B5" s="4" t="inlineStr">
        <is>
          <t>Paid</t>
        </is>
      </c>
      <c r="C5" s="4">
        <f>COUNTIF('Paid'!$B$5:$B$56,A5)</f>
        <v/>
      </c>
      <c r="D5" s="4">
        <f>COUNTIFS('Paid'!$B$5:$B$56,A5,'Paid'!$A$5:$A$56,"Yes")</f>
        <v/>
      </c>
      <c r="E5" s="5">
        <f>IF(C5=0,0,D5/C5)</f>
        <v/>
      </c>
    </row>
    <row r="6">
      <c r="A6" s="4" t="inlineStr">
        <is>
          <t>Launch</t>
        </is>
      </c>
      <c r="B6" s="4" t="inlineStr">
        <is>
          <t>Paid</t>
        </is>
      </c>
      <c r="C6" s="4">
        <f>COUNTIF('Paid'!$B$5:$B$56,A6)</f>
        <v/>
      </c>
      <c r="D6" s="4">
        <f>COUNTIFS('Paid'!$B$5:$B$56,A6,'Paid'!$A$5:$A$56,"Yes")</f>
        <v/>
      </c>
      <c r="E6" s="5">
        <f>IF(C6=0,0,D6/C6)</f>
        <v/>
      </c>
    </row>
    <row r="7">
      <c r="A7" s="4" t="inlineStr">
        <is>
          <t>Mid-sale gifting</t>
        </is>
      </c>
      <c r="B7" s="4" t="inlineStr">
        <is>
          <t>Paid</t>
        </is>
      </c>
      <c r="C7" s="4">
        <f>COUNTIF('Paid'!$B$5:$B$56,A7)</f>
        <v/>
      </c>
      <c r="D7" s="4">
        <f>COUNTIFS('Paid'!$B$5:$B$56,A7,'Paid'!$A$5:$A$56,"Yes")</f>
        <v/>
      </c>
      <c r="E7" s="5">
        <f>IF(C7=0,0,D7/C7)</f>
        <v/>
      </c>
    </row>
    <row r="8">
      <c r="A8" s="4" t="inlineStr">
        <is>
          <t>Ending soon</t>
        </is>
      </c>
      <c r="B8" s="4" t="inlineStr">
        <is>
          <t>Paid</t>
        </is>
      </c>
      <c r="C8" s="4">
        <f>COUNTIF('Paid'!$B$5:$B$56,A8)</f>
        <v/>
      </c>
      <c r="D8" s="4">
        <f>COUNTIFS('Paid'!$B$5:$B$56,A8,'Paid'!$A$5:$A$56,"Yes")</f>
        <v/>
      </c>
      <c r="E8" s="5">
        <f>IF(C8=0,0,D8/C8)</f>
        <v/>
      </c>
    </row>
    <row r="9">
      <c r="A9" s="4" t="inlineStr">
        <is>
          <t>Paid dependencies</t>
        </is>
      </c>
      <c r="B9" s="4" t="inlineStr">
        <is>
          <t>Paid</t>
        </is>
      </c>
      <c r="C9" s="4">
        <f>COUNTIF('Paid'!$B$5:$B$56,A9)</f>
        <v/>
      </c>
      <c r="D9" s="4">
        <f>COUNTIFS('Paid'!$B$5:$B$56,A9,'Paid'!$A$5:$A$56,"Yes")</f>
        <v/>
      </c>
      <c r="E9" s="5">
        <f>IF(C9=0,0,D9/C9)</f>
        <v/>
      </c>
    </row>
    <row r="10">
      <c r="A10" s="4" t="inlineStr">
        <is>
          <t>Social post</t>
        </is>
      </c>
      <c r="B10" s="4" t="inlineStr">
        <is>
          <t>Organic</t>
        </is>
      </c>
      <c r="C10" s="4">
        <f>COUNTIF('Organic'!$B$5:$B$33,A10)</f>
        <v/>
      </c>
      <c r="D10" s="4">
        <f>COUNTIFS('Organic'!$B$5:$B$33,A10,'Organic'!$A$5:$A$33,"Yes")</f>
        <v/>
      </c>
      <c r="E10" s="5">
        <f>IF(C10=0,0,D10/C10)</f>
        <v/>
      </c>
    </row>
    <row r="11">
      <c r="A11" s="4" t="inlineStr">
        <is>
          <t>Owned / site</t>
        </is>
      </c>
      <c r="B11" s="4" t="inlineStr">
        <is>
          <t>Organic</t>
        </is>
      </c>
      <c r="C11" s="4">
        <f>COUNTIF('Organic'!$B$5:$B$33,A11)</f>
        <v/>
      </c>
      <c r="D11" s="4">
        <f>COUNTIFS('Organic'!$B$5:$B$33,A11,'Organic'!$A$5:$A$33,"Yes")</f>
        <v/>
      </c>
      <c r="E11" s="5">
        <f>IF(C11=0,0,D11/C11)</f>
        <v/>
      </c>
    </row>
    <row r="12">
      <c r="A12" s="6" t="inlineStr">
        <is>
          <t>All deliverables</t>
        </is>
      </c>
      <c r="B12" s="6" t="n"/>
      <c r="C12" s="6">
        <f>SUM(C5:C11)</f>
        <v/>
      </c>
      <c r="D12" s="6">
        <f>SUM(D5:D11)</f>
        <v/>
      </c>
      <c r="E12" s="7">
        <f>IF(C12=0,0,D12/C12)</f>
        <v/>
      </c>
    </row>
    <row r="14">
      <c r="A14" s="8" t="inlineStr">
        <is>
          <t>Legend</t>
        </is>
      </c>
    </row>
    <row r="15">
      <c r="A15" s="9" t="inlineStr">
        <is>
          <t>Yellow cells (Done column): pick Yes when the deliverable is finished. The row greys out.</t>
        </is>
      </c>
    </row>
    <row r="16">
      <c r="A16" s="9" t="inlineStr">
        <is>
          <t>Status dropdown: Not started, In progress, In review, Done, Blocked.</t>
        </is>
      </c>
    </row>
    <row r="17">
      <c r="A17" s="9" t="inlineStr">
        <is>
          <t>Example: a finished hype ad reads Done = Yes, Status = Done, Notes = "Live in Meta, ad set Hype 1".</t>
        </is>
      </c>
    </row>
    <row r="18">
      <c r="A18" s="8" t="inlineStr">
        <is>
          <t>Assumptions</t>
        </is>
      </c>
    </row>
    <row r="19">
      <c r="A19" s="9" t="inlineStr">
        <is>
          <t>Dimensions are standard Meta and organic sizes, not a DiggerLid spec: video (9:16, 4:5); image (4:5, 1:1, 9:16); GIF (4:5, 1:1); UGC and episodes (9:16); email (600 px wide); pages (desktop + mobile).</t>
        </is>
      </c>
    </row>
    <row r="20">
      <c r="A20" s="9" t="inlineStr">
        <is>
          <t>Ad lines, posts and dates come from the BFCM 2026 Sale Plan deck as of 19 Oct 2026. Owners are placeholders.</t>
        </is>
      </c>
    </row>
    <row r="21">
      <c r="A21" s="9" t="inlineStr">
        <is>
          <t>Proposed, not agreed: edit due dates (2 days before each post) and the partner UGC 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66" customWidth="1" min="4" max="4"/>
    <col width="10" customWidth="1" min="5" max="5"/>
    <col width="24" customWidth="1" min="6" max="6"/>
    <col width="18" customWidth="1" min="7" max="7"/>
    <col width="12" customWidth="1" min="8" max="8"/>
    <col width="14" customWidth="1" min="9" max="9"/>
    <col width="30" customWidth="1" min="10" max="10"/>
  </cols>
  <sheetData>
    <row r="1">
      <c r="A1" s="1" t="inlineStr">
        <is>
          <t>BFCM 2026 · Paid deliverables checklist (47 ads + dependencies)</t>
        </is>
      </c>
    </row>
    <row r="2">
      <c r="A2" s="2" t="inlineStr">
        <is>
          <t>Tick Done with the dropdown (Yes). Status, Owner and Notes are yours to edit. Dimensions sit in brackets on each line.</t>
        </is>
      </c>
    </row>
    <row r="4">
      <c r="A4" s="10" t="inlineStr">
        <is>
          <t>Done</t>
        </is>
      </c>
      <c r="B4" s="10" t="inlineStr">
        <is>
          <t>Phase</t>
        </is>
      </c>
      <c r="C4" s="10" t="inlineStr">
        <is>
          <t>Live from</t>
        </is>
      </c>
      <c r="D4" s="10" t="inlineStr">
        <is>
          <t>Deliverable (dimensions)</t>
        </is>
      </c>
      <c r="E4" s="10" t="inlineStr">
        <is>
          <t>Format</t>
        </is>
      </c>
      <c r="F4" s="10" t="inlineStr">
        <is>
          <t>Footage / source</t>
        </is>
      </c>
      <c r="G4" s="10" t="inlineStr">
        <is>
          <t>Owner</t>
        </is>
      </c>
      <c r="H4" s="10" t="inlineStr">
        <is>
          <t>Due</t>
        </is>
      </c>
      <c r="I4" s="10" t="inlineStr">
        <is>
          <t>Status</t>
        </is>
      </c>
      <c r="J4" s="10" t="inlineStr">
        <is>
          <t>Notes</t>
        </is>
      </c>
    </row>
    <row r="5">
      <c r="A5" s="11" t="inlineStr"/>
      <c r="B5" s="12" t="inlineStr">
        <is>
          <t>Hype</t>
        </is>
      </c>
      <c r="C5" s="13" t="n">
        <v>46343</v>
      </c>
      <c r="D5" s="14" t="inlineStr">
        <is>
          <t>Air Walk / Crush: Jack hook, then sale graphics #1 (9:16, 4:5)</t>
        </is>
      </c>
      <c r="E5" s="12" t="inlineStr">
        <is>
          <t>Video</t>
        </is>
      </c>
      <c r="F5" s="12" t="inlineStr">
        <is>
          <t>Location TBC</t>
        </is>
      </c>
      <c r="G5" s="12" t="inlineStr">
        <is>
          <t>Creative [name]</t>
        </is>
      </c>
      <c r="H5" s="12" t="n"/>
      <c r="I5" s="12" t="inlineStr">
        <is>
          <t>Not started</t>
        </is>
      </c>
      <c r="J5" s="14" t="inlineStr"/>
    </row>
    <row r="6">
      <c r="A6" s="11" t="inlineStr"/>
      <c r="B6" s="12" t="inlineStr">
        <is>
          <t>Hype</t>
        </is>
      </c>
      <c r="C6" s="13" t="n">
        <v>46343</v>
      </c>
      <c r="D6" s="14" t="inlineStr">
        <is>
          <t>Air Walk / Crush: Jack hook, then sale graphics #2 (9:16, 4:5)</t>
        </is>
      </c>
      <c r="E6" s="12" t="inlineStr">
        <is>
          <t>Video</t>
        </is>
      </c>
      <c r="F6" s="12" t="inlineStr">
        <is>
          <t>Location TBC</t>
        </is>
      </c>
      <c r="G6" s="12" t="inlineStr">
        <is>
          <t>Creative [name]</t>
        </is>
      </c>
      <c r="H6" s="12" t="n"/>
      <c r="I6" s="12" t="inlineStr">
        <is>
          <t>Not started</t>
        </is>
      </c>
      <c r="J6" s="14" t="inlineStr"/>
    </row>
    <row r="7">
      <c r="A7" s="11" t="inlineStr"/>
      <c r="B7" s="12" t="inlineStr">
        <is>
          <t>Hype</t>
        </is>
      </c>
      <c r="C7" s="13" t="n">
        <v>46343</v>
      </c>
      <c r="D7" s="14" t="inlineStr">
        <is>
          <t>Bundle image, paddock (4:5, 1:1, 9:16)</t>
        </is>
      </c>
      <c r="E7" s="12" t="inlineStr">
        <is>
          <t>Image</t>
        </is>
      </c>
      <c r="F7" s="12" t="inlineStr">
        <is>
          <t>Paddock</t>
        </is>
      </c>
      <c r="G7" s="12" t="inlineStr">
        <is>
          <t>Creative [name]</t>
        </is>
      </c>
      <c r="H7" s="12" t="n"/>
      <c r="I7" s="12" t="inlineStr">
        <is>
          <t>Not started</t>
        </is>
      </c>
      <c r="J7" s="14" t="inlineStr"/>
    </row>
    <row r="8">
      <c r="A8" s="11" t="inlineStr"/>
      <c r="B8" s="12" t="inlineStr">
        <is>
          <t>Hype</t>
        </is>
      </c>
      <c r="C8" s="13" t="n">
        <v>46343</v>
      </c>
      <c r="D8" s="14" t="inlineStr">
        <is>
          <t>Bundle image, warehouse (4:5, 1:1, 9:16)</t>
        </is>
      </c>
      <c r="E8" s="12" t="inlineStr">
        <is>
          <t>Image</t>
        </is>
      </c>
      <c r="F8" s="12" t="inlineStr">
        <is>
          <t>Warehouse (shot)</t>
        </is>
      </c>
      <c r="G8" s="12" t="inlineStr">
        <is>
          <t>Creative [name]</t>
        </is>
      </c>
      <c r="H8" s="12" t="n"/>
      <c r="I8" s="12" t="inlineStr">
        <is>
          <t>Not started</t>
        </is>
      </c>
      <c r="J8" s="14" t="inlineStr"/>
    </row>
    <row r="9">
      <c r="A9" s="11" t="inlineStr"/>
      <c r="B9" s="12" t="inlineStr">
        <is>
          <t>Hype</t>
        </is>
      </c>
      <c r="C9" s="13" t="n">
        <v>46343</v>
      </c>
      <c r="D9" s="14" t="inlineStr">
        <is>
          <t>AI static with the sale info #1 (4:5, 1:1, 9:16)</t>
        </is>
      </c>
      <c r="E9" s="12" t="inlineStr">
        <is>
          <t>Image</t>
        </is>
      </c>
      <c r="F9" s="12" t="inlineStr">
        <is>
          <t>Generated</t>
        </is>
      </c>
      <c r="G9" s="12" t="inlineStr">
        <is>
          <t>Creative [name]</t>
        </is>
      </c>
      <c r="H9" s="12" t="n"/>
      <c r="I9" s="12" t="inlineStr">
        <is>
          <t>Not started</t>
        </is>
      </c>
      <c r="J9" s="14" t="inlineStr"/>
    </row>
    <row r="10">
      <c r="A10" s="11" t="inlineStr"/>
      <c r="B10" s="12" t="inlineStr">
        <is>
          <t>Hype</t>
        </is>
      </c>
      <c r="C10" s="13" t="n">
        <v>46343</v>
      </c>
      <c r="D10" s="14" t="inlineStr">
        <is>
          <t>AI static with the sale info #2 (4:5, 1:1, 9:16)</t>
        </is>
      </c>
      <c r="E10" s="12" t="inlineStr">
        <is>
          <t>Image</t>
        </is>
      </c>
      <c r="F10" s="12" t="inlineStr">
        <is>
          <t>Generated</t>
        </is>
      </c>
      <c r="G10" s="12" t="inlineStr">
        <is>
          <t>Creative [name]</t>
        </is>
      </c>
      <c r="H10" s="12" t="n"/>
      <c r="I10" s="12" t="inlineStr">
        <is>
          <t>Not started</t>
        </is>
      </c>
      <c r="J10" s="14" t="inlineStr"/>
    </row>
    <row r="11">
      <c r="A11" s="11" t="inlineStr"/>
      <c r="B11" s="12" t="inlineStr">
        <is>
          <t>Hype</t>
        </is>
      </c>
      <c r="C11" s="13" t="n">
        <v>46343</v>
      </c>
      <c r="D11" s="14" t="inlineStr">
        <is>
          <t>All Up Here / Bucket Head, 15 to 20 sec (9:16, 4:5)</t>
        </is>
      </c>
      <c r="E11" s="12" t="inlineStr">
        <is>
          <t>Video</t>
        </is>
      </c>
      <c r="F11" s="12" t="inlineStr">
        <is>
          <t>Warehouse (shot)</t>
        </is>
      </c>
      <c r="G11" s="12" t="inlineStr">
        <is>
          <t>Creative [name]</t>
        </is>
      </c>
      <c r="H11" s="12" t="n"/>
      <c r="I11" s="12" t="inlineStr">
        <is>
          <t>Not started</t>
        </is>
      </c>
      <c r="J11" s="14" t="inlineStr"/>
    </row>
    <row r="12">
      <c r="A12" s="11" t="inlineStr"/>
      <c r="B12" s="12" t="inlineStr">
        <is>
          <t>Hype</t>
        </is>
      </c>
      <c r="C12" s="13" t="n">
        <v>46343</v>
      </c>
      <c r="D12" s="14" t="inlineStr">
        <is>
          <t>Show You A Thing Or Two, 15 to 20 sec (9:16, 4:5)</t>
        </is>
      </c>
      <c r="E12" s="12" t="inlineStr">
        <is>
          <t>Video</t>
        </is>
      </c>
      <c r="F12" s="12" t="inlineStr">
        <is>
          <t>Paddock</t>
        </is>
      </c>
      <c r="G12" s="12" t="inlineStr">
        <is>
          <t>Creative [name]</t>
        </is>
      </c>
      <c r="H12" s="12" t="n"/>
      <c r="I12" s="12" t="inlineStr">
        <is>
          <t>Not started</t>
        </is>
      </c>
      <c r="J12" s="14" t="inlineStr"/>
    </row>
    <row r="13">
      <c r="A13" s="11" t="inlineStr"/>
      <c r="B13" s="12" t="inlineStr">
        <is>
          <t>Hype</t>
        </is>
      </c>
      <c r="C13" s="13" t="n">
        <v>46343</v>
      </c>
      <c r="D13" s="14" t="inlineStr">
        <is>
          <t>Fake Phone Call, hype version (9:16, 4:5)</t>
        </is>
      </c>
      <c r="E13" s="12" t="inlineStr">
        <is>
          <t>Video</t>
        </is>
      </c>
      <c r="F13" s="12" t="inlineStr">
        <is>
          <t>Paddock, from the ute</t>
        </is>
      </c>
      <c r="G13" s="12" t="inlineStr">
        <is>
          <t>Creative [name]</t>
        </is>
      </c>
      <c r="H13" s="12" t="n"/>
      <c r="I13" s="12" t="inlineStr">
        <is>
          <t>Not started</t>
        </is>
      </c>
      <c r="J13" s="14" t="inlineStr"/>
    </row>
    <row r="14">
      <c r="A14" s="11" t="inlineStr"/>
      <c r="B14" s="12" t="inlineStr">
        <is>
          <t>Launch</t>
        </is>
      </c>
      <c r="C14" s="13" t="n">
        <v>46345</v>
      </c>
      <c r="D14" s="14" t="inlineStr">
        <is>
          <t>Infomercial #1: whip cuts, quick script (9:16, 4:5)</t>
        </is>
      </c>
      <c r="E14" s="12" t="inlineStr">
        <is>
          <t>Video</t>
        </is>
      </c>
      <c r="F14" s="12" t="inlineStr">
        <is>
          <t>Warehouse (shot)</t>
        </is>
      </c>
      <c r="G14" s="12" t="inlineStr">
        <is>
          <t>Creative [name]</t>
        </is>
      </c>
      <c r="H14" s="12" t="n"/>
      <c r="I14" s="12" t="inlineStr">
        <is>
          <t>Not started</t>
        </is>
      </c>
      <c r="J14" s="14" t="inlineStr"/>
    </row>
    <row r="15">
      <c r="A15" s="11" t="inlineStr"/>
      <c r="B15" s="12" t="inlineStr">
        <is>
          <t>Launch</t>
        </is>
      </c>
      <c r="C15" s="13" t="n">
        <v>46345</v>
      </c>
      <c r="D15" s="14" t="inlineStr">
        <is>
          <t>Infomercial #2: hook, demo table + B-roll (9:16, 4:5)</t>
        </is>
      </c>
      <c r="E15" s="12" t="inlineStr">
        <is>
          <t>Video</t>
        </is>
      </c>
      <c r="F15" s="12" t="inlineStr">
        <is>
          <t>Warehouse (shot)</t>
        </is>
      </c>
      <c r="G15" s="12" t="inlineStr">
        <is>
          <t>Creative [name]</t>
        </is>
      </c>
      <c r="H15" s="12" t="n"/>
      <c r="I15" s="12" t="inlineStr">
        <is>
          <t>Not started</t>
        </is>
      </c>
      <c r="J15" s="14" t="inlineStr"/>
    </row>
    <row r="16">
      <c r="A16" s="11" t="inlineStr"/>
      <c r="B16" s="12" t="inlineStr">
        <is>
          <t>Launch</t>
        </is>
      </c>
      <c r="C16" s="13" t="n">
        <v>46345</v>
      </c>
      <c r="D16" s="14" t="inlineStr">
        <is>
          <t>Usage video: bundle + free gift, PRO Mat, Pro Enclosure (9:16, 4:5)</t>
        </is>
      </c>
      <c r="E16" s="12" t="inlineStr">
        <is>
          <t>Video</t>
        </is>
      </c>
      <c r="F16" s="12" t="inlineStr">
        <is>
          <t>Paddock</t>
        </is>
      </c>
      <c r="G16" s="12" t="inlineStr">
        <is>
          <t>Creative [name]</t>
        </is>
      </c>
      <c r="H16" s="12" t="n"/>
      <c r="I16" s="12" t="inlineStr">
        <is>
          <t>Not started</t>
        </is>
      </c>
      <c r="J16" s="14" t="inlineStr"/>
    </row>
    <row r="17">
      <c r="A17" s="11" t="inlineStr"/>
      <c r="B17" s="12" t="inlineStr">
        <is>
          <t>Launch</t>
        </is>
      </c>
      <c r="C17" s="13" t="n">
        <v>46345</v>
      </c>
      <c r="D17" s="14" t="inlineStr">
        <is>
          <t>Bundle image #1 (4:5, 1:1, 9:16)</t>
        </is>
      </c>
      <c r="E17" s="12" t="inlineStr">
        <is>
          <t>Image</t>
        </is>
      </c>
      <c r="F17" s="12" t="inlineStr">
        <is>
          <t>Warehouse (shot)</t>
        </is>
      </c>
      <c r="G17" s="12" t="inlineStr">
        <is>
          <t>Creative [name]</t>
        </is>
      </c>
      <c r="H17" s="12" t="n"/>
      <c r="I17" s="12" t="inlineStr">
        <is>
          <t>Not started</t>
        </is>
      </c>
      <c r="J17" s="14" t="inlineStr"/>
    </row>
    <row r="18">
      <c r="A18" s="11" t="inlineStr"/>
      <c r="B18" s="12" t="inlineStr">
        <is>
          <t>Launch</t>
        </is>
      </c>
      <c r="C18" s="13" t="n">
        <v>46345</v>
      </c>
      <c r="D18" s="14" t="inlineStr">
        <is>
          <t>Bundle image #2 (4:5, 1:1, 9:16)</t>
        </is>
      </c>
      <c r="E18" s="12" t="inlineStr">
        <is>
          <t>Image</t>
        </is>
      </c>
      <c r="F18" s="12" t="inlineStr">
        <is>
          <t>Warehouse (shot)</t>
        </is>
      </c>
      <c r="G18" s="12" t="inlineStr">
        <is>
          <t>Creative [name]</t>
        </is>
      </c>
      <c r="H18" s="12" t="n"/>
      <c r="I18" s="12" t="inlineStr">
        <is>
          <t>Not started</t>
        </is>
      </c>
      <c r="J18" s="14" t="inlineStr"/>
    </row>
    <row r="19">
      <c r="A19" s="11" t="inlineStr"/>
      <c r="B19" s="12" t="inlineStr">
        <is>
          <t>Launch</t>
        </is>
      </c>
      <c r="C19" s="13" t="n">
        <v>46345</v>
      </c>
      <c r="D19" s="14" t="inlineStr">
        <is>
          <t>AI image with the sale info #1 (4:5, 1:1, 9:16)</t>
        </is>
      </c>
      <c r="E19" s="12" t="inlineStr">
        <is>
          <t>Image</t>
        </is>
      </c>
      <c r="F19" s="12" t="inlineStr">
        <is>
          <t>Generated</t>
        </is>
      </c>
      <c r="G19" s="12" t="inlineStr">
        <is>
          <t>Creative [name]</t>
        </is>
      </c>
      <c r="H19" s="12" t="n"/>
      <c r="I19" s="12" t="inlineStr">
        <is>
          <t>Not started</t>
        </is>
      </c>
      <c r="J19" s="14" t="inlineStr"/>
    </row>
    <row r="20">
      <c r="A20" s="11" t="inlineStr"/>
      <c r="B20" s="12" t="inlineStr">
        <is>
          <t>Launch</t>
        </is>
      </c>
      <c r="C20" s="13" t="n">
        <v>46345</v>
      </c>
      <c r="D20" s="14" t="inlineStr">
        <is>
          <t>AI image with the sale info #2 (4:5, 1:1, 9:16)</t>
        </is>
      </c>
      <c r="E20" s="12" t="inlineStr">
        <is>
          <t>Image</t>
        </is>
      </c>
      <c r="F20" s="12" t="inlineStr">
        <is>
          <t>Generated</t>
        </is>
      </c>
      <c r="G20" s="12" t="inlineStr">
        <is>
          <t>Creative [name]</t>
        </is>
      </c>
      <c r="H20" s="12" t="n"/>
      <c r="I20" s="12" t="inlineStr">
        <is>
          <t>Not started</t>
        </is>
      </c>
      <c r="J20" s="14" t="inlineStr"/>
    </row>
    <row r="21">
      <c r="A21" s="11" t="inlineStr"/>
      <c r="B21" s="12" t="inlineStr">
        <is>
          <t>Launch</t>
        </is>
      </c>
      <c r="C21" s="13" t="n">
        <v>46345</v>
      </c>
      <c r="D21" s="14" t="inlineStr">
        <is>
          <t>BFCM GIF: offer + countdown #1 (4:5, 1:1)</t>
        </is>
      </c>
      <c r="E21" s="12" t="inlineStr">
        <is>
          <t>GIF</t>
        </is>
      </c>
      <c r="F21" s="12" t="inlineStr">
        <is>
          <t>Graphics</t>
        </is>
      </c>
      <c r="G21" s="12" t="inlineStr">
        <is>
          <t>Creative [name]</t>
        </is>
      </c>
      <c r="H21" s="12" t="n"/>
      <c r="I21" s="12" t="inlineStr">
        <is>
          <t>Not started</t>
        </is>
      </c>
      <c r="J21" s="14" t="inlineStr"/>
    </row>
    <row r="22">
      <c r="A22" s="11" t="inlineStr"/>
      <c r="B22" s="12" t="inlineStr">
        <is>
          <t>Launch</t>
        </is>
      </c>
      <c r="C22" s="13" t="n">
        <v>46345</v>
      </c>
      <c r="D22" s="14" t="inlineStr">
        <is>
          <t>BFCM GIF: offer + countdown #2 (4:5, 1:1)</t>
        </is>
      </c>
      <c r="E22" s="12" t="inlineStr">
        <is>
          <t>GIF</t>
        </is>
      </c>
      <c r="F22" s="12" t="inlineStr">
        <is>
          <t>Graphics</t>
        </is>
      </c>
      <c r="G22" s="12" t="inlineStr">
        <is>
          <t>Creative [name]</t>
        </is>
      </c>
      <c r="H22" s="12" t="n"/>
      <c r="I22" s="12" t="inlineStr">
        <is>
          <t>Not started</t>
        </is>
      </c>
      <c r="J22" s="14" t="inlineStr"/>
    </row>
    <row r="23">
      <c r="A23" s="11" t="inlineStr"/>
      <c r="B23" s="12" t="inlineStr">
        <is>
          <t>Launch</t>
        </is>
      </c>
      <c r="C23" s="13" t="n">
        <v>46345</v>
      </c>
      <c r="D23" s="14" t="inlineStr">
        <is>
          <t>UGC creative #1 (9:16)</t>
        </is>
      </c>
      <c r="E23" s="12" t="inlineStr">
        <is>
          <t>UGC</t>
        </is>
      </c>
      <c r="F23" s="12" t="inlineStr">
        <is>
          <t>Creators</t>
        </is>
      </c>
      <c r="G23" s="12" t="inlineStr">
        <is>
          <t>Creative [name]</t>
        </is>
      </c>
      <c r="H23" s="12" t="n"/>
      <c r="I23" s="12" t="inlineStr">
        <is>
          <t>Not started</t>
        </is>
      </c>
      <c r="J23" s="14" t="inlineStr"/>
    </row>
    <row r="24">
      <c r="A24" s="11" t="inlineStr"/>
      <c r="B24" s="12" t="inlineStr">
        <is>
          <t>Launch</t>
        </is>
      </c>
      <c r="C24" s="13" t="n">
        <v>46345</v>
      </c>
      <c r="D24" s="14" t="inlineStr">
        <is>
          <t>UGC creative #2 (9:16)</t>
        </is>
      </c>
      <c r="E24" s="12" t="inlineStr">
        <is>
          <t>UGC</t>
        </is>
      </c>
      <c r="F24" s="12" t="inlineStr">
        <is>
          <t>Creators</t>
        </is>
      </c>
      <c r="G24" s="12" t="inlineStr">
        <is>
          <t>Creative [name]</t>
        </is>
      </c>
      <c r="H24" s="12" t="n"/>
      <c r="I24" s="12" t="inlineStr">
        <is>
          <t>Not started</t>
        </is>
      </c>
      <c r="J24" s="14" t="inlineStr"/>
    </row>
    <row r="25">
      <c r="A25" s="11" t="inlineStr"/>
      <c r="B25" s="12" t="inlineStr">
        <is>
          <t>Launch</t>
        </is>
      </c>
      <c r="C25" s="13" t="n">
        <v>46345</v>
      </c>
      <c r="D25" s="14" t="inlineStr">
        <is>
          <t>UGC creative #3 (9:16)</t>
        </is>
      </c>
      <c r="E25" s="12" t="inlineStr">
        <is>
          <t>UGC</t>
        </is>
      </c>
      <c r="F25" s="12" t="inlineStr">
        <is>
          <t>Creators</t>
        </is>
      </c>
      <c r="G25" s="12" t="inlineStr">
        <is>
          <t>Creative [name]</t>
        </is>
      </c>
      <c r="H25" s="12" t="n"/>
      <c r="I25" s="12" t="inlineStr">
        <is>
          <t>Not started</t>
        </is>
      </c>
      <c r="J25" s="14" t="inlineStr"/>
    </row>
    <row r="26">
      <c r="A26" s="11" t="inlineStr"/>
      <c r="B26" s="12" t="inlineStr">
        <is>
          <t>Launch</t>
        </is>
      </c>
      <c r="C26" s="13" t="n">
        <v>46345</v>
      </c>
      <c r="D26" s="14" t="inlineStr">
        <is>
          <t>UGC creative #4 (9:16)</t>
        </is>
      </c>
      <c r="E26" s="12" t="inlineStr">
        <is>
          <t>UGC</t>
        </is>
      </c>
      <c r="F26" s="12" t="inlineStr">
        <is>
          <t>Creators</t>
        </is>
      </c>
      <c r="G26" s="12" t="inlineStr">
        <is>
          <t>Creative [name]</t>
        </is>
      </c>
      <c r="H26" s="12" t="n"/>
      <c r="I26" s="12" t="inlineStr">
        <is>
          <t>Not started</t>
        </is>
      </c>
      <c r="J26" s="14" t="inlineStr"/>
    </row>
    <row r="27">
      <c r="A27" s="11" t="inlineStr"/>
      <c r="B27" s="12" t="inlineStr">
        <is>
          <t>Launch</t>
        </is>
      </c>
      <c r="C27" s="13" t="n">
        <v>46345</v>
      </c>
      <c r="D27" s="14" t="inlineStr">
        <is>
          <t>All Up Here infomercial: Jack out cold across the products (9:16, 4:5)</t>
        </is>
      </c>
      <c r="E27" s="12" t="inlineStr">
        <is>
          <t>Video</t>
        </is>
      </c>
      <c r="F27" s="12" t="inlineStr">
        <is>
          <t>Warehouse (shot)</t>
        </is>
      </c>
      <c r="G27" s="12" t="inlineStr">
        <is>
          <t>Creative [name]</t>
        </is>
      </c>
      <c r="H27" s="12" t="n"/>
      <c r="I27" s="12" t="inlineStr">
        <is>
          <t>Not started</t>
        </is>
      </c>
      <c r="J27" s="14" t="inlineStr"/>
    </row>
    <row r="28">
      <c r="A28" s="11" t="inlineStr"/>
      <c r="B28" s="12" t="inlineStr">
        <is>
          <t>Launch</t>
        </is>
      </c>
      <c r="C28" s="13" t="n">
        <v>46345</v>
      </c>
      <c r="D28" s="14" t="inlineStr">
        <is>
          <t>Look Earthmovers, 45 sec (9:16, 4:5)</t>
        </is>
      </c>
      <c r="E28" s="12" t="inlineStr">
        <is>
          <t>Video</t>
        </is>
      </c>
      <c r="F28" s="12" t="inlineStr">
        <is>
          <t>Paddock</t>
        </is>
      </c>
      <c r="G28" s="12" t="inlineStr">
        <is>
          <t>Creative [name]</t>
        </is>
      </c>
      <c r="H28" s="12" t="n"/>
      <c r="I28" s="12" t="inlineStr">
        <is>
          <t>Not started</t>
        </is>
      </c>
      <c r="J28" s="14" t="inlineStr"/>
    </row>
    <row r="29">
      <c r="A29" s="11" t="inlineStr"/>
      <c r="B29" s="12" t="inlineStr">
        <is>
          <t>Launch</t>
        </is>
      </c>
      <c r="C29" s="13" t="n">
        <v>46345</v>
      </c>
      <c r="D29" s="14" t="inlineStr">
        <is>
          <t>All products + bundles with Jack out cold (4:5, 1:1, 9:16)</t>
        </is>
      </c>
      <c r="E29" s="12" t="inlineStr">
        <is>
          <t>Image</t>
        </is>
      </c>
      <c r="F29" s="12" t="inlineStr">
        <is>
          <t>Warehouse (shot)</t>
        </is>
      </c>
      <c r="G29" s="12" t="inlineStr">
        <is>
          <t>Creative [name]</t>
        </is>
      </c>
      <c r="H29" s="12" t="n"/>
      <c r="I29" s="12" t="inlineStr">
        <is>
          <t>Not started</t>
        </is>
      </c>
      <c r="J29" s="14" t="inlineStr"/>
    </row>
    <row r="30">
      <c r="A30" s="11" t="inlineStr"/>
      <c r="B30" s="12" t="inlineStr">
        <is>
          <t>Launch</t>
        </is>
      </c>
      <c r="C30" s="13" t="n">
        <v>46345</v>
      </c>
      <c r="D30" s="14" t="inlineStr">
        <is>
          <t>Theme GIF: Jack moments on loop #1 (4:5, 1:1)</t>
        </is>
      </c>
      <c r="E30" s="12" t="inlineStr">
        <is>
          <t>GIF</t>
        </is>
      </c>
      <c r="F30" s="12" t="inlineStr">
        <is>
          <t>All shoot days</t>
        </is>
      </c>
      <c r="G30" s="12" t="inlineStr">
        <is>
          <t>Creative [name]</t>
        </is>
      </c>
      <c r="H30" s="12" t="n"/>
      <c r="I30" s="12" t="inlineStr">
        <is>
          <t>Not started</t>
        </is>
      </c>
      <c r="J30" s="14" t="inlineStr"/>
    </row>
    <row r="31">
      <c r="A31" s="11" t="inlineStr"/>
      <c r="B31" s="12" t="inlineStr">
        <is>
          <t>Launch</t>
        </is>
      </c>
      <c r="C31" s="13" t="n">
        <v>46345</v>
      </c>
      <c r="D31" s="14" t="inlineStr">
        <is>
          <t>Theme GIF: Jack moments on loop #2 (4:5, 1:1)</t>
        </is>
      </c>
      <c r="E31" s="12" t="inlineStr">
        <is>
          <t>GIF</t>
        </is>
      </c>
      <c r="F31" s="12" t="inlineStr">
        <is>
          <t>All shoot days</t>
        </is>
      </c>
      <c r="G31" s="12" t="inlineStr">
        <is>
          <t>Creative [name]</t>
        </is>
      </c>
      <c r="H31" s="12" t="n"/>
      <c r="I31" s="12" t="inlineStr">
        <is>
          <t>Not started</t>
        </is>
      </c>
      <c r="J31" s="14" t="inlineStr"/>
    </row>
    <row r="32">
      <c r="A32" s="11" t="inlineStr"/>
      <c r="B32" s="12" t="inlineStr">
        <is>
          <t>Launch</t>
        </is>
      </c>
      <c r="C32" s="13" t="n">
        <v>46345</v>
      </c>
      <c r="D32" s="14" t="inlineStr">
        <is>
          <t>Fake Phone Call, launch version with B-roll + offer overlays (9:16, 4:5)</t>
        </is>
      </c>
      <c r="E32" s="12" t="inlineStr">
        <is>
          <t>Video</t>
        </is>
      </c>
      <c r="F32" s="12" t="inlineStr">
        <is>
          <t>Paddock</t>
        </is>
      </c>
      <c r="G32" s="12" t="inlineStr">
        <is>
          <t>Creative [name]</t>
        </is>
      </c>
      <c r="H32" s="12" t="n"/>
      <c r="I32" s="12" t="inlineStr">
        <is>
          <t>Not started</t>
        </is>
      </c>
      <c r="J32" s="14" t="inlineStr"/>
    </row>
    <row r="33">
      <c r="A33" s="11" t="inlineStr"/>
      <c r="B33" s="12" t="inlineStr">
        <is>
          <t>Mid-sale gifting</t>
        </is>
      </c>
      <c r="C33" s="13" t="n">
        <v>46349</v>
      </c>
      <c r="D33" s="14" t="inlineStr">
        <is>
          <t>Titan Sox creator: collab pack unboxed as a gift #1 (9:16)</t>
        </is>
      </c>
      <c r="E33" s="12" t="inlineStr">
        <is>
          <t>UGC</t>
        </is>
      </c>
      <c r="F33" s="12" t="inlineStr">
        <is>
          <t>Titan Sox creators</t>
        </is>
      </c>
      <c r="G33" s="12" t="inlineStr">
        <is>
          <t>Creative [name]</t>
        </is>
      </c>
      <c r="H33" s="12" t="n"/>
      <c r="I33" s="12" t="inlineStr">
        <is>
          <t>Not started</t>
        </is>
      </c>
      <c r="J33" s="14" t="inlineStr"/>
    </row>
    <row r="34">
      <c r="A34" s="11" t="inlineStr"/>
      <c r="B34" s="12" t="inlineStr">
        <is>
          <t>Mid-sale gifting</t>
        </is>
      </c>
      <c r="C34" s="13" t="n">
        <v>46349</v>
      </c>
      <c r="D34" s="14" t="inlineStr">
        <is>
          <t>Titan Sox creator: collab pack unboxed as a gift #2 (9:16)</t>
        </is>
      </c>
      <c r="E34" s="12" t="inlineStr">
        <is>
          <t>UGC</t>
        </is>
      </c>
      <c r="F34" s="12" t="inlineStr">
        <is>
          <t>Titan Sox creators</t>
        </is>
      </c>
      <c r="G34" s="12" t="inlineStr">
        <is>
          <t>Creative [name]</t>
        </is>
      </c>
      <c r="H34" s="12" t="n"/>
      <c r="I34" s="12" t="inlineStr">
        <is>
          <t>Not started</t>
        </is>
      </c>
      <c r="J34" s="14" t="inlineStr"/>
    </row>
    <row r="35">
      <c r="A35" s="11" t="inlineStr"/>
      <c r="B35" s="12" t="inlineStr">
        <is>
          <t>Mid-sale gifting</t>
        </is>
      </c>
      <c r="C35" s="13" t="n">
        <v>46349</v>
      </c>
      <c r="D35" s="14" t="inlineStr">
        <is>
          <t>3DPro creator: the buckets, then the full pack #1 (9:16)</t>
        </is>
      </c>
      <c r="E35" s="12" t="inlineStr">
        <is>
          <t>UGC</t>
        </is>
      </c>
      <c r="F35" s="12" t="inlineStr">
        <is>
          <t>3DPro creators</t>
        </is>
      </c>
      <c r="G35" s="12" t="inlineStr">
        <is>
          <t>Creative [name]</t>
        </is>
      </c>
      <c r="H35" s="12" t="n"/>
      <c r="I35" s="12" t="inlineStr">
        <is>
          <t>Not started</t>
        </is>
      </c>
      <c r="J35" s="14" t="inlineStr"/>
    </row>
    <row r="36">
      <c r="A36" s="11" t="inlineStr"/>
      <c r="B36" s="12" t="inlineStr">
        <is>
          <t>Mid-sale gifting</t>
        </is>
      </c>
      <c r="C36" s="13" t="n">
        <v>46349</v>
      </c>
      <c r="D36" s="14" t="inlineStr">
        <is>
          <t>3DPro creator: the buckets, then the full pack #2 (9:16)</t>
        </is>
      </c>
      <c r="E36" s="12" t="inlineStr">
        <is>
          <t>UGC</t>
        </is>
      </c>
      <c r="F36" s="12" t="inlineStr">
        <is>
          <t>3DPro creators</t>
        </is>
      </c>
      <c r="G36" s="12" t="inlineStr">
        <is>
          <t>Creative [name]</t>
        </is>
      </c>
      <c r="H36" s="12" t="n"/>
      <c r="I36" s="12" t="inlineStr">
        <is>
          <t>Not started</t>
        </is>
      </c>
      <c r="J36" s="14" t="inlineStr"/>
    </row>
    <row r="37">
      <c r="A37" s="11" t="inlineStr"/>
      <c r="B37" s="12" t="inlineStr">
        <is>
          <t>Mid-sale gifting</t>
        </is>
      </c>
      <c r="C37" s="13" t="n">
        <v>46349</v>
      </c>
      <c r="D37" s="14" t="inlineStr">
        <is>
          <t>Gift buyer POV: PRO Mat Plus unboxed (9:16)</t>
        </is>
      </c>
      <c r="E37" s="12" t="inlineStr">
        <is>
          <t>UGC</t>
        </is>
      </c>
      <c r="F37" s="12" t="inlineStr">
        <is>
          <t>Customer / creator</t>
        </is>
      </c>
      <c r="G37" s="12" t="inlineStr">
        <is>
          <t>Creative [name]</t>
        </is>
      </c>
      <c r="H37" s="12" t="n"/>
      <c r="I37" s="12" t="inlineStr">
        <is>
          <t>Not started</t>
        </is>
      </c>
      <c r="J37" s="14" t="inlineStr"/>
    </row>
    <row r="38">
      <c r="A38" s="11" t="inlineStr"/>
      <c r="B38" s="12" t="inlineStr">
        <is>
          <t>Mid-sale gifting</t>
        </is>
      </c>
      <c r="C38" s="13" t="n">
        <v>46349</v>
      </c>
      <c r="D38" s="14" t="inlineStr">
        <is>
          <t>Tradie opening the gift on site (9:16)</t>
        </is>
      </c>
      <c r="E38" s="12" t="inlineStr">
        <is>
          <t>UGC</t>
        </is>
      </c>
      <c r="F38" s="12" t="inlineStr">
        <is>
          <t>Customer / creator</t>
        </is>
      </c>
      <c r="G38" s="12" t="inlineStr">
        <is>
          <t>Creative [name]</t>
        </is>
      </c>
      <c r="H38" s="12" t="n"/>
      <c r="I38" s="12" t="inlineStr">
        <is>
          <t>Not started</t>
        </is>
      </c>
      <c r="J38" s="14" t="inlineStr"/>
    </row>
    <row r="39">
      <c r="A39" s="11" t="inlineStr"/>
      <c r="B39" s="12" t="inlineStr">
        <is>
          <t>Mid-sale gifting</t>
        </is>
      </c>
      <c r="C39" s="13" t="n">
        <v>46349</v>
      </c>
      <c r="D39" s="14" t="inlineStr">
        <is>
          <t>Stocking filler under $50: caddy or phone cradle (9:16)</t>
        </is>
      </c>
      <c r="E39" s="12" t="inlineStr">
        <is>
          <t>UGC</t>
        </is>
      </c>
      <c r="F39" s="12" t="inlineStr">
        <is>
          <t>Customer</t>
        </is>
      </c>
      <c r="G39" s="12" t="inlineStr">
        <is>
          <t>Creative [name]</t>
        </is>
      </c>
      <c r="H39" s="12" t="n"/>
      <c r="I39" s="12" t="inlineStr">
        <is>
          <t>Not started</t>
        </is>
      </c>
      <c r="J39" s="14" t="inlineStr"/>
    </row>
    <row r="40">
      <c r="A40" s="11" t="inlineStr"/>
      <c r="B40" s="12" t="inlineStr">
        <is>
          <t>Mid-sale gifting</t>
        </is>
      </c>
      <c r="C40" s="13" t="n">
        <v>46349</v>
      </c>
      <c r="D40" s="14" t="inlineStr">
        <is>
          <t>Too Good To Keep: Ep 3 cut-down (9:16, 4:5)</t>
        </is>
      </c>
      <c r="E40" s="12" t="inlineStr">
        <is>
          <t>Video</t>
        </is>
      </c>
      <c r="F40" s="12" t="inlineStr">
        <is>
          <t>Worksite</t>
        </is>
      </c>
      <c r="G40" s="12" t="inlineStr">
        <is>
          <t>Creative [name]</t>
        </is>
      </c>
      <c r="H40" s="12" t="n"/>
      <c r="I40" s="12" t="inlineStr">
        <is>
          <t>Not started</t>
        </is>
      </c>
      <c r="J40" s="14" t="inlineStr"/>
    </row>
    <row r="41">
      <c r="A41" s="11" t="inlineStr"/>
      <c r="B41" s="12" t="inlineStr">
        <is>
          <t>Mid-sale gifting</t>
        </is>
      </c>
      <c r="C41" s="13" t="n">
        <v>46349</v>
      </c>
      <c r="D41" s="14" t="inlineStr">
        <is>
          <t>Collab pack reveal at [$X] (9:16, 4:5)</t>
        </is>
      </c>
      <c r="E41" s="12" t="inlineStr">
        <is>
          <t>Video</t>
        </is>
      </c>
      <c r="F41" s="12" t="inlineStr">
        <is>
          <t>Worksite stills</t>
        </is>
      </c>
      <c r="G41" s="12" t="inlineStr">
        <is>
          <t>Creative [name]</t>
        </is>
      </c>
      <c r="H41" s="12" t="n"/>
      <c r="I41" s="12" t="inlineStr">
        <is>
          <t>Not started</t>
        </is>
      </c>
      <c r="J41" s="14" t="inlineStr"/>
    </row>
    <row r="42">
      <c r="A42" s="11" t="inlineStr"/>
      <c r="B42" s="12" t="inlineStr">
        <is>
          <t>Mid-sale gifting</t>
        </is>
      </c>
      <c r="C42" s="13" t="n">
        <v>46349</v>
      </c>
      <c r="D42" s="14" t="inlineStr">
        <is>
          <t>Gift guide video: PRO Mat Plus in four colours + order-by dates (9:16, 4:5)</t>
        </is>
      </c>
      <c r="E42" s="12" t="inlineStr">
        <is>
          <t>Video</t>
        </is>
      </c>
      <c r="F42" s="12" t="inlineStr">
        <is>
          <t>All shoot days</t>
        </is>
      </c>
      <c r="G42" s="12" t="inlineStr">
        <is>
          <t>Creative [name]</t>
        </is>
      </c>
      <c r="H42" s="12" t="n"/>
      <c r="I42" s="12" t="inlineStr">
        <is>
          <t>Not started</t>
        </is>
      </c>
      <c r="J42" s="14" t="inlineStr"/>
    </row>
    <row r="43">
      <c r="A43" s="11" t="inlineStr"/>
      <c r="B43" s="12" t="inlineStr">
        <is>
          <t>Mid-sale gifting</t>
        </is>
      </c>
      <c r="C43" s="13" t="n">
        <v>46349</v>
      </c>
      <c r="D43" s="14" t="inlineStr">
        <is>
          <t>Collab pack hero static: 3 brands, 1 pack (4:5, 1:1, 9:16)</t>
        </is>
      </c>
      <c r="E43" s="12" t="inlineStr">
        <is>
          <t>Image</t>
        </is>
      </c>
      <c r="F43" s="12" t="inlineStr">
        <is>
          <t>Worksite stills</t>
        </is>
      </c>
      <c r="G43" s="12" t="inlineStr">
        <is>
          <t>Creative [name]</t>
        </is>
      </c>
      <c r="H43" s="12" t="n"/>
      <c r="I43" s="12" t="inlineStr">
        <is>
          <t>Not started</t>
        </is>
      </c>
      <c r="J43" s="14" t="inlineStr"/>
    </row>
    <row r="44">
      <c r="A44" s="11" t="inlineStr"/>
      <c r="B44" s="12" t="inlineStr">
        <is>
          <t>Mid-sale gifting</t>
        </is>
      </c>
      <c r="C44" s="13" t="n">
        <v>46349</v>
      </c>
      <c r="D44" s="14" t="inlineStr">
        <is>
          <t>Gifts by price: $39, $49, $299, bundles from $732 (4:5, 1:1, 9:16)</t>
        </is>
      </c>
      <c r="E44" s="12" t="inlineStr">
        <is>
          <t>Image</t>
        </is>
      </c>
      <c r="F44" s="12" t="inlineStr">
        <is>
          <t>Product shots</t>
        </is>
      </c>
      <c r="G44" s="12" t="inlineStr">
        <is>
          <t>Creative [name]</t>
        </is>
      </c>
      <c r="H44" s="12" t="n"/>
      <c r="I44" s="12" t="inlineStr">
        <is>
          <t>Not started</t>
        </is>
      </c>
      <c r="J44" s="14" t="inlineStr"/>
    </row>
    <row r="45">
      <c r="A45" s="11" t="inlineStr"/>
      <c r="B45" s="12" t="inlineStr">
        <is>
          <t>Mid-sale gifting</t>
        </is>
      </c>
      <c r="C45" s="13" t="n">
        <v>46349</v>
      </c>
      <c r="D45" s="14" t="inlineStr">
        <is>
          <t>Order-by dates by state (+ Black Friday version) (4:5, 1:1, 9:16)</t>
        </is>
      </c>
      <c r="E45" s="12" t="inlineStr">
        <is>
          <t>Image</t>
        </is>
      </c>
      <c r="F45" s="12" t="inlineStr">
        <is>
          <t>Graphics</t>
        </is>
      </c>
      <c r="G45" s="12" t="inlineStr">
        <is>
          <t>Creative [name]</t>
        </is>
      </c>
      <c r="H45" s="12" t="n"/>
      <c r="I45" s="12" t="inlineStr">
        <is>
          <t>Not started</t>
        </is>
      </c>
      <c r="J45" s="14" t="inlineStr"/>
    </row>
    <row r="46">
      <c r="A46" s="11" t="inlineStr"/>
      <c r="B46" s="12" t="inlineStr">
        <is>
          <t>Ending soon</t>
        </is>
      </c>
      <c r="C46" s="13" t="n">
        <v>46355</v>
      </c>
      <c r="D46" s="14" t="inlineStr">
        <is>
          <t>Departure finale cut-down (concept TBC) #1 (9:16, 4:5)</t>
        </is>
      </c>
      <c r="E46" s="12" t="inlineStr">
        <is>
          <t>Video</t>
        </is>
      </c>
      <c r="F46" s="12" t="inlineStr">
        <is>
          <t>Departure</t>
        </is>
      </c>
      <c r="G46" s="12" t="inlineStr">
        <is>
          <t>Creative [name]</t>
        </is>
      </c>
      <c r="H46" s="12" t="n"/>
      <c r="I46" s="12" t="inlineStr">
        <is>
          <t>Not started</t>
        </is>
      </c>
      <c r="J46" s="14" t="inlineStr"/>
    </row>
    <row r="47">
      <c r="A47" s="11" t="inlineStr"/>
      <c r="B47" s="12" t="inlineStr">
        <is>
          <t>Ending soon</t>
        </is>
      </c>
      <c r="C47" s="13" t="n">
        <v>46355</v>
      </c>
      <c r="D47" s="14" t="inlineStr">
        <is>
          <t>Departure finale cut-down (concept TBC) #2 (9:16, 4:5)</t>
        </is>
      </c>
      <c r="E47" s="12" t="inlineStr">
        <is>
          <t>Video</t>
        </is>
      </c>
      <c r="F47" s="12" t="inlineStr">
        <is>
          <t>Departure</t>
        </is>
      </c>
      <c r="G47" s="12" t="inlineStr">
        <is>
          <t>Creative [name]</t>
        </is>
      </c>
      <c r="H47" s="12" t="n"/>
      <c r="I47" s="12" t="inlineStr">
        <is>
          <t>Not started</t>
        </is>
      </c>
      <c r="J47" s="14" t="inlineStr"/>
    </row>
    <row r="48">
      <c r="A48" s="11" t="inlineStr"/>
      <c r="B48" s="12" t="inlineStr">
        <is>
          <t>Ending soon</t>
        </is>
      </c>
      <c r="C48" s="13" t="n">
        <v>46355</v>
      </c>
      <c r="D48" s="14" t="inlineStr">
        <is>
          <t>Countdown static: 3 days left / last day #1 (4:5, 1:1, 9:16)</t>
        </is>
      </c>
      <c r="E48" s="12" t="inlineStr">
        <is>
          <t>Image</t>
        </is>
      </c>
      <c r="F48" s="12" t="inlineStr">
        <is>
          <t>Graphics</t>
        </is>
      </c>
      <c r="G48" s="12" t="inlineStr">
        <is>
          <t>Creative [name]</t>
        </is>
      </c>
      <c r="H48" s="12" t="n"/>
      <c r="I48" s="12" t="inlineStr">
        <is>
          <t>Not started</t>
        </is>
      </c>
      <c r="J48" s="14" t="inlineStr"/>
    </row>
    <row r="49">
      <c r="A49" s="11" t="inlineStr"/>
      <c r="B49" s="12" t="inlineStr">
        <is>
          <t>Ending soon</t>
        </is>
      </c>
      <c r="C49" s="13" t="n">
        <v>46355</v>
      </c>
      <c r="D49" s="14" t="inlineStr">
        <is>
          <t>Countdown static: 3 days left / last day #2 (4:5, 1:1, 9:16)</t>
        </is>
      </c>
      <c r="E49" s="12" t="inlineStr">
        <is>
          <t>Image</t>
        </is>
      </c>
      <c r="F49" s="12" t="inlineStr">
        <is>
          <t>Graphics</t>
        </is>
      </c>
      <c r="G49" s="12" t="inlineStr">
        <is>
          <t>Creative [name]</t>
        </is>
      </c>
      <c r="H49" s="12" t="n"/>
      <c r="I49" s="12" t="inlineStr">
        <is>
          <t>Not started</t>
        </is>
      </c>
      <c r="J49" s="14" t="inlineStr"/>
    </row>
    <row r="50">
      <c r="A50" s="11" t="inlineStr"/>
      <c r="B50" s="12" t="inlineStr">
        <is>
          <t>Ending soon</t>
        </is>
      </c>
      <c r="C50" s="13" t="n">
        <v>46355</v>
      </c>
      <c r="D50" s="14" t="inlineStr">
        <is>
          <t>Countdown GIF (4:5, 1:1)</t>
        </is>
      </c>
      <c r="E50" s="12" t="inlineStr">
        <is>
          <t>GIF</t>
        </is>
      </c>
      <c r="F50" s="12" t="inlineStr">
        <is>
          <t>Graphics</t>
        </is>
      </c>
      <c r="G50" s="12" t="inlineStr">
        <is>
          <t>Creative [name]</t>
        </is>
      </c>
      <c r="H50" s="12" t="n"/>
      <c r="I50" s="12" t="inlineStr">
        <is>
          <t>Not started</t>
        </is>
      </c>
      <c r="J50" s="14" t="inlineStr"/>
    </row>
    <row r="51">
      <c r="A51" s="11" t="inlineStr"/>
      <c r="B51" s="12" t="inlineStr">
        <is>
          <t>Ending soon</t>
        </is>
      </c>
      <c r="C51" s="13" t="n">
        <v>46355</v>
      </c>
      <c r="D51" s="14" t="inlineStr">
        <is>
          <t>Ending-soon UGC (concept TBC) (9:16)</t>
        </is>
      </c>
      <c r="E51" s="12" t="inlineStr">
        <is>
          <t>UGC</t>
        </is>
      </c>
      <c r="F51" s="12" t="inlineStr">
        <is>
          <t>TBC</t>
        </is>
      </c>
      <c r="G51" s="12" t="inlineStr">
        <is>
          <t>Creative [name]</t>
        </is>
      </c>
      <c r="H51" s="12" t="n"/>
      <c r="I51" s="12" t="inlineStr">
        <is>
          <t>Not started</t>
        </is>
      </c>
      <c r="J51" s="14" t="inlineStr"/>
    </row>
    <row r="52">
      <c r="A52" s="11" t="inlineStr"/>
      <c r="B52" s="12" t="inlineStr">
        <is>
          <t>Paid dependencies</t>
        </is>
      </c>
      <c r="C52" s="12" t="n"/>
      <c r="D52" s="14" t="inlineStr">
        <is>
          <t>Partner UGC briefs agreed with Titan Sox and 3DPro</t>
        </is>
      </c>
      <c r="E52" s="12" t="inlineStr">
        <is>
          <t>Admin</t>
        </is>
      </c>
      <c r="F52" s="12" t="inlineStr">
        <is>
          <t>Partners</t>
        </is>
      </c>
      <c r="G52" s="12" t="inlineStr">
        <is>
          <t>Growth [name]</t>
        </is>
      </c>
      <c r="H52" s="13" t="n">
        <v>46328</v>
      </c>
      <c r="I52" s="12" t="inlineStr">
        <is>
          <t>Not started</t>
        </is>
      </c>
      <c r="J52" s="14" t="inlineStr"/>
    </row>
    <row r="53">
      <c r="A53" s="11" t="inlineStr"/>
      <c r="B53" s="12" t="inlineStr">
        <is>
          <t>Paid dependencies</t>
        </is>
      </c>
      <c r="C53" s="12" t="n"/>
      <c r="D53" s="14" t="inlineStr">
        <is>
          <t>Usage rights for paid ads on all UGC</t>
        </is>
      </c>
      <c r="E53" s="12" t="inlineStr">
        <is>
          <t>Admin</t>
        </is>
      </c>
      <c r="F53" s="12" t="inlineStr">
        <is>
          <t>Partners</t>
        </is>
      </c>
      <c r="G53" s="12" t="inlineStr">
        <is>
          <t>Growth [name]</t>
        </is>
      </c>
      <c r="H53" s="13" t="n">
        <v>46335</v>
      </c>
      <c r="I53" s="12" t="inlineStr">
        <is>
          <t>Not started</t>
        </is>
      </c>
      <c r="J53" s="14" t="inlineStr"/>
    </row>
    <row r="54">
      <c r="A54" s="11" t="inlineStr"/>
      <c r="B54" s="12" t="inlineStr">
        <is>
          <t>Paid dependencies</t>
        </is>
      </c>
      <c r="C54" s="12" t="n"/>
      <c r="D54" s="14" t="inlineStr">
        <is>
          <t>Partner UGC delivered</t>
        </is>
      </c>
      <c r="E54" s="12" t="inlineStr">
        <is>
          <t>Admin</t>
        </is>
      </c>
      <c r="F54" s="12" t="inlineStr">
        <is>
          <t>Partners</t>
        </is>
      </c>
      <c r="G54" s="12" t="inlineStr">
        <is>
          <t>Growth [name]</t>
        </is>
      </c>
      <c r="H54" s="13" t="n">
        <v>46342</v>
      </c>
      <c r="I54" s="12" t="inlineStr">
        <is>
          <t>Not started</t>
        </is>
      </c>
      <c r="J54" s="14" t="inlineStr"/>
    </row>
    <row r="55">
      <c r="A55" s="11" t="inlineStr"/>
      <c r="B55" s="12" t="inlineStr">
        <is>
          <t>Paid dependencies</t>
        </is>
      </c>
      <c r="C55" s="12" t="n"/>
      <c r="D55" s="14" t="inlineStr">
        <is>
          <t>Gifting page offer set for the mid-sale ads</t>
        </is>
      </c>
      <c r="E55" s="12" t="inlineStr">
        <is>
          <t>Admin</t>
        </is>
      </c>
      <c r="F55" s="12" t="inlineStr">
        <is>
          <t>Site</t>
        </is>
      </c>
      <c r="G55" s="12" t="inlineStr">
        <is>
          <t>Growth [name]</t>
        </is>
      </c>
      <c r="H55" s="13" t="n">
        <v>46346</v>
      </c>
      <c r="I55" s="12" t="inlineStr">
        <is>
          <t>Not started</t>
        </is>
      </c>
      <c r="J55" s="14" t="inlineStr"/>
    </row>
    <row r="56">
      <c r="A56" s="11" t="inlineStr"/>
      <c r="B56" s="12" t="inlineStr">
        <is>
          <t>Paid dependencies</t>
        </is>
      </c>
      <c r="C56" s="12" t="n"/>
      <c r="D56" s="14" t="inlineStr">
        <is>
          <t>All ad sets built and scheduled</t>
        </is>
      </c>
      <c r="E56" s="12" t="inlineStr">
        <is>
          <t>Admin</t>
        </is>
      </c>
      <c r="F56" s="12" t="inlineStr">
        <is>
          <t>Meta</t>
        </is>
      </c>
      <c r="G56" s="12" t="inlineStr">
        <is>
          <t>Paid [name]</t>
        </is>
      </c>
      <c r="H56" s="13" t="n">
        <v>46342</v>
      </c>
      <c r="I56" s="12" t="inlineStr">
        <is>
          <t>Not started</t>
        </is>
      </c>
      <c r="J56" s="14" t="inlineStr"/>
    </row>
  </sheetData>
  <autoFilter ref="A4:J4"/>
  <conditionalFormatting sqref="A5:J56">
    <cfRule type="expression" priority="1" dxfId="0">
      <formula>$A5="Yes"</formula>
    </cfRule>
  </conditionalFormatting>
  <dataValidations count="2">
    <dataValidation sqref="A5:A56" showDropDown="0" showInputMessage="0" showErrorMessage="0" allowBlank="1" type="list">
      <formula1>"Yes,"</formula1>
    </dataValidation>
    <dataValidation sqref="I5:I56" showDropDown="0" showInputMessage="0" showErrorMessage="0" allowBlank="1" type="list">
      <formula1>"Not started,In progress,In review,Done,Blocked"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66" customWidth="1" min="4" max="4"/>
    <col width="10" customWidth="1" min="5" max="5"/>
    <col width="24" customWidth="1" min="6" max="6"/>
    <col width="18" customWidth="1" min="7" max="7"/>
    <col width="12" customWidth="1" min="8" max="8"/>
    <col width="14" customWidth="1" min="9" max="9"/>
    <col width="30" customWidth="1" min="10" max="10"/>
  </cols>
  <sheetData>
    <row r="1">
      <c r="A1" s="1" t="inlineStr">
        <is>
          <t>BFCM 2026 · Organic and owned deliverables checklist</t>
        </is>
      </c>
    </row>
    <row r="2">
      <c r="A2" s="2" t="inlineStr">
        <is>
          <t>Tick Done with the dropdown (Yes). Status, Owner and Notes are yours to edit. Dimensions sit in brackets on each line.</t>
        </is>
      </c>
    </row>
    <row r="4">
      <c r="A4" s="10" t="inlineStr">
        <is>
          <t>Done</t>
        </is>
      </c>
      <c r="B4" s="10" t="inlineStr">
        <is>
          <t>Phase</t>
        </is>
      </c>
      <c r="C4" s="10" t="inlineStr">
        <is>
          <t>Live from</t>
        </is>
      </c>
      <c r="D4" s="10" t="inlineStr">
        <is>
          <t>Deliverable (dimensions)</t>
        </is>
      </c>
      <c r="E4" s="10" t="inlineStr">
        <is>
          <t>Format</t>
        </is>
      </c>
      <c r="F4" s="10" t="inlineStr">
        <is>
          <t>Footage / source</t>
        </is>
      </c>
      <c r="G4" s="10" t="inlineStr">
        <is>
          <t>Owner</t>
        </is>
      </c>
      <c r="H4" s="10" t="inlineStr">
        <is>
          <t>Due</t>
        </is>
      </c>
      <c r="I4" s="10" t="inlineStr">
        <is>
          <t>Status</t>
        </is>
      </c>
      <c r="J4" s="10" t="inlineStr">
        <is>
          <t>Notes</t>
        </is>
      </c>
    </row>
    <row r="5">
      <c r="A5" s="11" t="inlineStr"/>
      <c r="B5" s="12" t="inlineStr">
        <is>
          <t>Social post</t>
        </is>
      </c>
      <c r="C5" s="13" t="n">
        <v>46338</v>
      </c>
      <c r="D5" s="14" t="inlineStr">
        <is>
          <t>Teaser: Jack's coming to town (9:16)</t>
        </is>
      </c>
      <c r="E5" s="12" t="inlineStr">
        <is>
          <t>Short</t>
        </is>
      </c>
      <c r="F5" s="12" t="inlineStr">
        <is>
          <t>Warehouse (shot)</t>
        </is>
      </c>
      <c r="G5" s="12" t="inlineStr">
        <is>
          <t>Creative [name]</t>
        </is>
      </c>
      <c r="H5" s="13" t="n">
        <v>46336</v>
      </c>
      <c r="I5" s="12" t="inlineStr">
        <is>
          <t>Not started</t>
        </is>
      </c>
      <c r="J5" s="14" t="inlineStr">
        <is>
          <t>Edit due 2 days before post (proposal)</t>
        </is>
      </c>
    </row>
    <row r="6">
      <c r="A6" s="11" t="inlineStr"/>
      <c r="B6" s="12" t="inlineStr">
        <is>
          <t>Social post</t>
        </is>
      </c>
      <c r="C6" s="13" t="n">
        <v>46341</v>
      </c>
      <c r="D6" s="14" t="inlineStr">
        <is>
          <t>Teaser: the call, AI took the jobs gag (9:16)</t>
        </is>
      </c>
      <c r="E6" s="12" t="inlineStr">
        <is>
          <t>Short</t>
        </is>
      </c>
      <c r="F6" s="12" t="inlineStr">
        <is>
          <t>Paddock</t>
        </is>
      </c>
      <c r="G6" s="12" t="inlineStr">
        <is>
          <t>Creative [name]</t>
        </is>
      </c>
      <c r="H6" s="13" t="n">
        <v>46339</v>
      </c>
      <c r="I6" s="12" t="inlineStr">
        <is>
          <t>Not started</t>
        </is>
      </c>
      <c r="J6" s="14" t="inlineStr">
        <is>
          <t>Edit due 2 days before post (proposal)</t>
        </is>
      </c>
    </row>
    <row r="7">
      <c r="A7" s="11" t="inlineStr"/>
      <c r="B7" s="12" t="inlineStr">
        <is>
          <t>Social post</t>
        </is>
      </c>
      <c r="C7" s="13" t="n">
        <v>46343</v>
      </c>
      <c r="D7" s="14" t="inlineStr">
        <is>
          <t>Ep 1 · Warehouse: meeting the boys, 90 sec (9:16)</t>
        </is>
      </c>
      <c r="E7" s="12" t="inlineStr">
        <is>
          <t>Episode</t>
        </is>
      </c>
      <c r="F7" s="12" t="inlineStr">
        <is>
          <t>Warehouse (shot)</t>
        </is>
      </c>
      <c r="G7" s="12" t="inlineStr">
        <is>
          <t>Creative [name]</t>
        </is>
      </c>
      <c r="H7" s="13" t="n">
        <v>46341</v>
      </c>
      <c r="I7" s="12" t="inlineStr">
        <is>
          <t>Not started</t>
        </is>
      </c>
      <c r="J7" s="14" t="inlineStr">
        <is>
          <t>Edit due 2 days before post (proposal)</t>
        </is>
      </c>
    </row>
    <row r="8">
      <c r="A8" s="11" t="inlineStr"/>
      <c r="B8" s="12" t="inlineStr">
        <is>
          <t>Social post</t>
        </is>
      </c>
      <c r="C8" s="13" t="n">
        <v>46344</v>
      </c>
      <c r="D8" s="14" t="inlineStr">
        <is>
          <t>Bonus · SANY yard + China: the deal (9:16)</t>
        </is>
      </c>
      <c r="E8" s="12" t="inlineStr">
        <is>
          <t>Episode</t>
        </is>
      </c>
      <c r="F8" s="12" t="inlineStr">
        <is>
          <t>SANY yard + China cutaway</t>
        </is>
      </c>
      <c r="G8" s="12" t="inlineStr">
        <is>
          <t>Creative [name]</t>
        </is>
      </c>
      <c r="H8" s="13" t="n">
        <v>46342</v>
      </c>
      <c r="I8" s="12" t="inlineStr">
        <is>
          <t>Not started</t>
        </is>
      </c>
      <c r="J8" s="14" t="inlineStr">
        <is>
          <t>Edit due 2 days before post (proposal)</t>
        </is>
      </c>
    </row>
    <row r="9">
      <c r="A9" s="11" t="inlineStr"/>
      <c r="B9" s="12" t="inlineStr">
        <is>
          <t>Social post</t>
        </is>
      </c>
      <c r="C9" s="13" t="n">
        <v>46345</v>
      </c>
      <c r="D9" s="14" t="inlineStr">
        <is>
          <t>Ep 2 · Paddock: the proper way, 90 sec, 12 PM (9:16)</t>
        </is>
      </c>
      <c r="E9" s="12" t="inlineStr">
        <is>
          <t>Episode</t>
        </is>
      </c>
      <c r="F9" s="12" t="inlineStr">
        <is>
          <t>Paddock</t>
        </is>
      </c>
      <c r="G9" s="12" t="inlineStr">
        <is>
          <t>Creative [name]</t>
        </is>
      </c>
      <c r="H9" s="13" t="n">
        <v>46343</v>
      </c>
      <c r="I9" s="12" t="inlineStr">
        <is>
          <t>Not started</t>
        </is>
      </c>
      <c r="J9" s="14" t="inlineStr">
        <is>
          <t>Edit due 2 days before post (proposal)</t>
        </is>
      </c>
    </row>
    <row r="10">
      <c r="A10" s="11" t="inlineStr"/>
      <c r="B10" s="12" t="inlineStr">
        <is>
          <t>Social post</t>
        </is>
      </c>
      <c r="C10" s="13" t="n">
        <v>46347</v>
      </c>
      <c r="D10" s="14" t="inlineStr">
        <is>
          <t>Short: Jack's tips (outtakes) (9:16)</t>
        </is>
      </c>
      <c r="E10" s="12" t="inlineStr">
        <is>
          <t>Short</t>
        </is>
      </c>
      <c r="F10" s="12" t="inlineStr">
        <is>
          <t>Paddock + warehouse</t>
        </is>
      </c>
      <c r="G10" s="12" t="inlineStr">
        <is>
          <t>Creative [name]</t>
        </is>
      </c>
      <c r="H10" s="13" t="n">
        <v>46345</v>
      </c>
      <c r="I10" s="12" t="inlineStr">
        <is>
          <t>Not started</t>
        </is>
      </c>
      <c r="J10" s="14" t="inlineStr">
        <is>
          <t>Edit due 2 days before post (proposal)</t>
        </is>
      </c>
    </row>
    <row r="11">
      <c r="A11" s="11" t="inlineStr"/>
      <c r="B11" s="12" t="inlineStr">
        <is>
          <t>Social post</t>
        </is>
      </c>
      <c r="C11" s="13" t="n">
        <v>46349</v>
      </c>
      <c r="D11" s="14" t="inlineStr">
        <is>
          <t>Ep 3 · Worksite: the lessons stick, 90 sec (9:16)</t>
        </is>
      </c>
      <c r="E11" s="12" t="inlineStr">
        <is>
          <t>Episode</t>
        </is>
      </c>
      <c r="F11" s="12" t="inlineStr">
        <is>
          <t>Worksite</t>
        </is>
      </c>
      <c r="G11" s="12" t="inlineStr">
        <is>
          <t>Creative [name]</t>
        </is>
      </c>
      <c r="H11" s="13" t="n">
        <v>46347</v>
      </c>
      <c r="I11" s="12" t="inlineStr">
        <is>
          <t>Not started</t>
        </is>
      </c>
      <c r="J11" s="14" t="inlineStr">
        <is>
          <t>Edit due 2 days before post (proposal)</t>
        </is>
      </c>
    </row>
    <row r="12">
      <c r="A12" s="11" t="inlineStr"/>
      <c r="B12" s="12" t="inlineStr">
        <is>
          <t>Social post</t>
        </is>
      </c>
      <c r="C12" s="13" t="n">
        <v>46351</v>
      </c>
      <c r="D12" s="14" t="inlineStr">
        <is>
          <t>Collab pack reveal, joint post with Titan Sox + 3DPro (4:5, 9:16)</t>
        </is>
      </c>
      <c r="E12" s="12" t="inlineStr">
        <is>
          <t>Static + story</t>
        </is>
      </c>
      <c r="F12" s="12" t="inlineStr">
        <is>
          <t>Worksite stills</t>
        </is>
      </c>
      <c r="G12" s="12" t="inlineStr">
        <is>
          <t>Creative [name]</t>
        </is>
      </c>
      <c r="H12" s="13" t="n">
        <v>46349</v>
      </c>
      <c r="I12" s="12" t="inlineStr">
        <is>
          <t>Not started</t>
        </is>
      </c>
      <c r="J12" s="14" t="inlineStr">
        <is>
          <t>Edit due 2 days before post (proposal)</t>
        </is>
      </c>
    </row>
    <row r="13">
      <c r="A13" s="11" t="inlineStr"/>
      <c r="B13" s="12" t="inlineStr">
        <is>
          <t>Social post</t>
        </is>
      </c>
      <c r="C13" s="13" t="n">
        <v>46353</v>
      </c>
      <c r="D13" s="14" t="inlineStr">
        <is>
          <t>Short: Black Friday, 7 AM (9:16)</t>
        </is>
      </c>
      <c r="E13" s="12" t="inlineStr">
        <is>
          <t>Short</t>
        </is>
      </c>
      <c r="F13" s="12" t="inlineStr">
        <is>
          <t>Any episode</t>
        </is>
      </c>
      <c r="G13" s="12" t="inlineStr">
        <is>
          <t>Creative [name]</t>
        </is>
      </c>
      <c r="H13" s="13" t="n">
        <v>46351</v>
      </c>
      <c r="I13" s="12" t="inlineStr">
        <is>
          <t>Not started</t>
        </is>
      </c>
      <c r="J13" s="14" t="inlineStr">
        <is>
          <t>Edit due 2 days before post (proposal)</t>
        </is>
      </c>
    </row>
    <row r="14">
      <c r="A14" s="11" t="inlineStr"/>
      <c r="B14" s="12" t="inlineStr">
        <is>
          <t>Social post</t>
        </is>
      </c>
      <c r="C14" s="13" t="n">
        <v>46355</v>
      </c>
      <c r="D14" s="14" t="inlineStr">
        <is>
          <t>Finale · Departure: heading home, 90 sec (9:16)</t>
        </is>
      </c>
      <c r="E14" s="12" t="inlineStr">
        <is>
          <t>Episode</t>
        </is>
      </c>
      <c r="F14" s="12" t="inlineStr">
        <is>
          <t>Departure</t>
        </is>
      </c>
      <c r="G14" s="12" t="inlineStr">
        <is>
          <t>Creative [name]</t>
        </is>
      </c>
      <c r="H14" s="13" t="n">
        <v>46353</v>
      </c>
      <c r="I14" s="12" t="inlineStr">
        <is>
          <t>Not started</t>
        </is>
      </c>
      <c r="J14" s="14" t="inlineStr">
        <is>
          <t>Edit due 2 days before post (proposal)</t>
        </is>
      </c>
    </row>
    <row r="15">
      <c r="A15" s="11" t="inlineStr"/>
      <c r="B15" s="12" t="inlineStr">
        <is>
          <t>Social post</t>
        </is>
      </c>
      <c r="C15" s="13" t="n">
        <v>46356</v>
      </c>
      <c r="D15" s="14" t="inlineStr">
        <is>
          <t>Short: Cyber Monday, 7 AM (9:16)</t>
        </is>
      </c>
      <c r="E15" s="12" t="inlineStr">
        <is>
          <t>Short</t>
        </is>
      </c>
      <c r="F15" s="12" t="inlineStr">
        <is>
          <t>Finale cut-down</t>
        </is>
      </c>
      <c r="G15" s="12" t="inlineStr">
        <is>
          <t>Creative [name]</t>
        </is>
      </c>
      <c r="H15" s="13" t="n">
        <v>46354</v>
      </c>
      <c r="I15" s="12" t="inlineStr">
        <is>
          <t>Not started</t>
        </is>
      </c>
      <c r="J15" s="14" t="inlineStr">
        <is>
          <t>Edit due 2 days before post (proposal)</t>
        </is>
      </c>
    </row>
    <row r="16">
      <c r="A16" s="11" t="inlineStr"/>
      <c r="B16" s="12" t="inlineStr">
        <is>
          <t>Social post</t>
        </is>
      </c>
      <c r="C16" s="13" t="n">
        <v>46357</v>
      </c>
      <c r="D16" s="14" t="inlineStr">
        <is>
          <t>Last day: Good trip. Got the boys sorted. (9:16)</t>
        </is>
      </c>
      <c r="E16" s="12" t="inlineStr">
        <is>
          <t>Short</t>
        </is>
      </c>
      <c r="F16" s="12" t="inlineStr">
        <is>
          <t>Finale</t>
        </is>
      </c>
      <c r="G16" s="12" t="inlineStr">
        <is>
          <t>Creative [name]</t>
        </is>
      </c>
      <c r="H16" s="13" t="n">
        <v>46355</v>
      </c>
      <c r="I16" s="12" t="inlineStr">
        <is>
          <t>Not started</t>
        </is>
      </c>
      <c r="J16" s="14" t="inlineStr">
        <is>
          <t>Edit due 2 days before post (proposal)</t>
        </is>
      </c>
    </row>
    <row r="17">
      <c r="A17" s="11" t="inlineStr"/>
      <c r="B17" s="12" t="inlineStr">
        <is>
          <t>Social post</t>
        </is>
      </c>
      <c r="C17" s="13" t="n">
        <v>46359</v>
      </c>
      <c r="D17" s="14" t="inlineStr">
        <is>
          <t>Bloopers and thanks + shipping cut-offs (9:16)</t>
        </is>
      </c>
      <c r="E17" s="12" t="inlineStr">
        <is>
          <t>Short</t>
        </is>
      </c>
      <c r="F17" s="12" t="inlineStr">
        <is>
          <t>All shoot days</t>
        </is>
      </c>
      <c r="G17" s="12" t="inlineStr">
        <is>
          <t>Creative [name]</t>
        </is>
      </c>
      <c r="H17" s="13" t="n">
        <v>46357</v>
      </c>
      <c r="I17" s="12" t="inlineStr">
        <is>
          <t>Not started</t>
        </is>
      </c>
      <c r="J17" s="14" t="inlineStr">
        <is>
          <t>Edit due 2 days before post (proposal)</t>
        </is>
      </c>
    </row>
    <row r="18">
      <c r="A18" s="11" t="inlineStr"/>
      <c r="B18" s="12" t="inlineStr">
        <is>
          <t>Owned / site</t>
        </is>
      </c>
      <c r="C18" s="12" t="n"/>
      <c r="D18" s="14" t="inlineStr">
        <is>
          <t>Email template: launch (600 px wide)</t>
        </is>
      </c>
      <c r="E18" s="12" t="inlineStr">
        <is>
          <t>Email</t>
        </is>
      </c>
      <c r="F18" s="12" t="inlineStr"/>
      <c r="G18" s="12" t="inlineStr">
        <is>
          <t>Email [name]</t>
        </is>
      </c>
      <c r="H18" s="12" t="n"/>
      <c r="I18" s="12" t="inlineStr">
        <is>
          <t>Not started</t>
        </is>
      </c>
      <c r="J18" s="14" t="inlineStr">
        <is>
          <t>Due TBC</t>
        </is>
      </c>
    </row>
    <row r="19">
      <c r="A19" s="11" t="inlineStr"/>
      <c r="B19" s="12" t="inlineStr">
        <is>
          <t>Owned / site</t>
        </is>
      </c>
      <c r="C19" s="12" t="n"/>
      <c r="D19" s="14" t="inlineStr">
        <is>
          <t>Email template: mid-sale gifting (600 px wide)</t>
        </is>
      </c>
      <c r="E19" s="12" t="inlineStr">
        <is>
          <t>Email</t>
        </is>
      </c>
      <c r="F19" s="12" t="inlineStr"/>
      <c r="G19" s="12" t="inlineStr">
        <is>
          <t>Email [name]</t>
        </is>
      </c>
      <c r="H19" s="12" t="n"/>
      <c r="I19" s="12" t="inlineStr">
        <is>
          <t>Not started</t>
        </is>
      </c>
      <c r="J19" s="14" t="inlineStr">
        <is>
          <t>Due TBC</t>
        </is>
      </c>
    </row>
    <row r="20">
      <c r="A20" s="11" t="inlineStr"/>
      <c r="B20" s="12" t="inlineStr">
        <is>
          <t>Owned / site</t>
        </is>
      </c>
      <c r="C20" s="12" t="n"/>
      <c r="D20" s="14" t="inlineStr">
        <is>
          <t>Email template: Black Friday (600 px wide)</t>
        </is>
      </c>
      <c r="E20" s="12" t="inlineStr">
        <is>
          <t>Email</t>
        </is>
      </c>
      <c r="F20" s="12" t="inlineStr"/>
      <c r="G20" s="12" t="inlineStr">
        <is>
          <t>Email [name]</t>
        </is>
      </c>
      <c r="H20" s="12" t="n"/>
      <c r="I20" s="12" t="inlineStr">
        <is>
          <t>Not started</t>
        </is>
      </c>
      <c r="J20" s="14" t="inlineStr">
        <is>
          <t>Due TBC</t>
        </is>
      </c>
    </row>
    <row r="21">
      <c r="A21" s="11" t="inlineStr"/>
      <c r="B21" s="12" t="inlineStr">
        <is>
          <t>Owned / site</t>
        </is>
      </c>
      <c r="C21" s="12" t="n"/>
      <c r="D21" s="14" t="inlineStr">
        <is>
          <t>Email template: close / last day (600 px wide)</t>
        </is>
      </c>
      <c r="E21" s="12" t="inlineStr">
        <is>
          <t>Email</t>
        </is>
      </c>
      <c r="F21" s="12" t="inlineStr"/>
      <c r="G21" s="12" t="inlineStr">
        <is>
          <t>Email [name]</t>
        </is>
      </c>
      <c r="H21" s="12" t="n"/>
      <c r="I21" s="12" t="inlineStr">
        <is>
          <t>Not started</t>
        </is>
      </c>
      <c r="J21" s="14" t="inlineStr">
        <is>
          <t>Due TBC</t>
        </is>
      </c>
    </row>
    <row r="22">
      <c r="A22" s="11" t="inlineStr"/>
      <c r="B22" s="12" t="inlineStr">
        <is>
          <t>Owned / site</t>
        </is>
      </c>
      <c r="C22" s="12" t="n"/>
      <c r="D22" s="14" t="inlineStr">
        <is>
          <t>SMS: launch</t>
        </is>
      </c>
      <c r="E22" s="12" t="inlineStr">
        <is>
          <t>SMS</t>
        </is>
      </c>
      <c r="F22" s="12" t="inlineStr"/>
      <c r="G22" s="12" t="inlineStr">
        <is>
          <t>Email [name]</t>
        </is>
      </c>
      <c r="H22" s="12" t="n"/>
      <c r="I22" s="12" t="inlineStr">
        <is>
          <t>Not started</t>
        </is>
      </c>
      <c r="J22" s="14" t="inlineStr">
        <is>
          <t>Due TBC</t>
        </is>
      </c>
    </row>
    <row r="23">
      <c r="A23" s="11" t="inlineStr"/>
      <c r="B23" s="12" t="inlineStr">
        <is>
          <t>Owned / site</t>
        </is>
      </c>
      <c r="C23" s="12" t="n"/>
      <c r="D23" s="14" t="inlineStr">
        <is>
          <t>SMS: last day</t>
        </is>
      </c>
      <c r="E23" s="12" t="inlineStr">
        <is>
          <t>SMS</t>
        </is>
      </c>
      <c r="F23" s="12" t="inlineStr"/>
      <c r="G23" s="12" t="inlineStr">
        <is>
          <t>Email [name]</t>
        </is>
      </c>
      <c r="H23" s="12" t="n"/>
      <c r="I23" s="12" t="inlineStr">
        <is>
          <t>Not started</t>
        </is>
      </c>
      <c r="J23" s="14" t="inlineStr">
        <is>
          <t>Due TBC</t>
        </is>
      </c>
    </row>
    <row r="24">
      <c r="A24" s="11" t="inlineStr"/>
      <c r="B24" s="12" t="inlineStr">
        <is>
          <t>Owned / site</t>
        </is>
      </c>
      <c r="C24" s="12" t="n"/>
      <c r="D24" s="14" t="inlineStr">
        <is>
          <t>Sale landing page (desktop + mobile)</t>
        </is>
      </c>
      <c r="E24" s="12" t="inlineStr">
        <is>
          <t>Page</t>
        </is>
      </c>
      <c r="F24" s="12" t="inlineStr"/>
      <c r="G24" s="12" t="inlineStr">
        <is>
          <t>Web [name]</t>
        </is>
      </c>
      <c r="H24" s="13" t="n">
        <v>46339</v>
      </c>
      <c r="I24" s="12" t="inlineStr">
        <is>
          <t>Not started</t>
        </is>
      </c>
      <c r="J24" s="14" t="inlineStr"/>
    </row>
    <row r="25">
      <c r="A25" s="11" t="inlineStr"/>
      <c r="B25" s="12" t="inlineStr">
        <is>
          <t>Owned / site</t>
        </is>
      </c>
      <c r="C25" s="12" t="n"/>
      <c r="D25" s="14" t="inlineStr">
        <is>
          <t>Bundle page (desktop + mobile)</t>
        </is>
      </c>
      <c r="E25" s="12" t="inlineStr">
        <is>
          <t>Page</t>
        </is>
      </c>
      <c r="F25" s="12" t="inlineStr"/>
      <c r="G25" s="12" t="inlineStr">
        <is>
          <t>Web [name]</t>
        </is>
      </c>
      <c r="H25" s="13" t="n">
        <v>46339</v>
      </c>
      <c r="I25" s="12" t="inlineStr">
        <is>
          <t>Not started</t>
        </is>
      </c>
      <c r="J25" s="14" t="inlineStr"/>
    </row>
    <row r="26">
      <c r="A26" s="11" t="inlineStr"/>
      <c r="B26" s="12" t="inlineStr">
        <is>
          <t>Owned / site</t>
        </is>
      </c>
      <c r="C26" s="12" t="n"/>
      <c r="D26" s="14" t="inlineStr">
        <is>
          <t>Collection page (desktop + mobile)</t>
        </is>
      </c>
      <c r="E26" s="12" t="inlineStr">
        <is>
          <t>Page</t>
        </is>
      </c>
      <c r="F26" s="12" t="inlineStr"/>
      <c r="G26" s="12" t="inlineStr">
        <is>
          <t>Web [name]</t>
        </is>
      </c>
      <c r="H26" s="13" t="n">
        <v>46339</v>
      </c>
      <c r="I26" s="12" t="inlineStr">
        <is>
          <t>Not started</t>
        </is>
      </c>
      <c r="J26" s="14" t="inlineStr"/>
    </row>
    <row r="27">
      <c r="A27" s="11" t="inlineStr"/>
      <c r="B27" s="12" t="inlineStr">
        <is>
          <t>Owned / site</t>
        </is>
      </c>
      <c r="C27" s="12" t="n"/>
      <c r="D27" s="14" t="inlineStr">
        <is>
          <t>Early-access capture page (desktop + mobile)</t>
        </is>
      </c>
      <c r="E27" s="12" t="inlineStr">
        <is>
          <t>Page</t>
        </is>
      </c>
      <c r="F27" s="12" t="inlineStr"/>
      <c r="G27" s="12" t="inlineStr">
        <is>
          <t>Web [name]</t>
        </is>
      </c>
      <c r="H27" s="13" t="n">
        <v>46339</v>
      </c>
      <c r="I27" s="12" t="inlineStr">
        <is>
          <t>Not started</t>
        </is>
      </c>
      <c r="J27" s="14" t="inlineStr"/>
    </row>
    <row r="28">
      <c r="A28" s="11" t="inlineStr"/>
      <c r="B28" s="12" t="inlineStr">
        <is>
          <t>Owned / site</t>
        </is>
      </c>
      <c r="C28" s="12" t="n"/>
      <c r="D28" s="14" t="inlineStr">
        <is>
          <t>Gifting landing page, own offer + discounts (desktop + mobile)</t>
        </is>
      </c>
      <c r="E28" s="12" t="inlineStr">
        <is>
          <t>Page</t>
        </is>
      </c>
      <c r="F28" s="12" t="inlineStr"/>
      <c r="G28" s="12" t="inlineStr">
        <is>
          <t>Web [name]</t>
        </is>
      </c>
      <c r="H28" s="13" t="n">
        <v>46346</v>
      </c>
      <c r="I28" s="12" t="inlineStr">
        <is>
          <t>Not started</t>
        </is>
      </c>
      <c r="J28" s="14" t="inlineStr"/>
    </row>
    <row r="29">
      <c r="A29" s="11" t="inlineStr"/>
      <c r="B29" s="12" t="inlineStr">
        <is>
          <t>Owned / site</t>
        </is>
      </c>
      <c r="C29" s="12" t="n"/>
      <c r="D29" s="14" t="inlineStr">
        <is>
          <t>Gift guide (desktop + mobile)</t>
        </is>
      </c>
      <c r="E29" s="12" t="inlineStr">
        <is>
          <t>Page</t>
        </is>
      </c>
      <c r="F29" s="12" t="inlineStr"/>
      <c r="G29" s="12" t="inlineStr">
        <is>
          <t>Web [name]</t>
        </is>
      </c>
      <c r="H29" s="13" t="n">
        <v>46346</v>
      </c>
      <c r="I29" s="12" t="inlineStr">
        <is>
          <t>Not started</t>
        </is>
      </c>
      <c r="J29" s="14" t="inlineStr"/>
    </row>
    <row r="30">
      <c r="A30" s="11" t="inlineStr"/>
      <c r="B30" s="12" t="inlineStr">
        <is>
          <t>Owned / site</t>
        </is>
      </c>
      <c r="C30" s="12" t="n"/>
      <c r="D30" s="14" t="inlineStr">
        <is>
          <t>Christmas cut-off banner (desktop + mobile)</t>
        </is>
      </c>
      <c r="E30" s="12" t="inlineStr">
        <is>
          <t>Banner</t>
        </is>
      </c>
      <c r="F30" s="12" t="inlineStr"/>
      <c r="G30" s="12" t="inlineStr">
        <is>
          <t>Web [name]</t>
        </is>
      </c>
      <c r="H30" s="13" t="n">
        <v>46346</v>
      </c>
      <c r="I30" s="12" t="inlineStr">
        <is>
          <t>Not started</t>
        </is>
      </c>
      <c r="J30" s="14" t="inlineStr"/>
    </row>
    <row r="31">
      <c r="A31" s="11" t="inlineStr"/>
      <c r="B31" s="12" t="inlineStr">
        <is>
          <t>Owned / site</t>
        </is>
      </c>
      <c r="C31" s="12" t="n"/>
      <c r="D31" s="14" t="inlineStr">
        <is>
          <t>Collab pack set up in store at [$X]</t>
        </is>
      </c>
      <c r="E31" s="12" t="inlineStr">
        <is>
          <t>Store setup</t>
        </is>
      </c>
      <c r="F31" s="12" t="inlineStr"/>
      <c r="G31" s="12" t="inlineStr">
        <is>
          <t>Growth [name]</t>
        </is>
      </c>
      <c r="H31" s="13" t="n">
        <v>46346</v>
      </c>
      <c r="I31" s="12" t="inlineStr">
        <is>
          <t>Not started</t>
        </is>
      </c>
      <c r="J31" s="14" t="inlineStr"/>
    </row>
    <row r="32">
      <c r="A32" s="11" t="inlineStr"/>
      <c r="B32" s="12" t="inlineStr">
        <is>
          <t>Owned / site</t>
        </is>
      </c>
      <c r="C32" s="12" t="n"/>
      <c r="D32" s="14" t="inlineStr">
        <is>
          <t>Popup reach above 50% on paid pages</t>
        </is>
      </c>
      <c r="E32" s="12" t="inlineStr">
        <is>
          <t>Check</t>
        </is>
      </c>
      <c r="F32" s="12" t="inlineStr"/>
      <c r="G32" s="12" t="inlineStr">
        <is>
          <t>Web [name]</t>
        </is>
      </c>
      <c r="H32" s="13" t="n">
        <v>46310</v>
      </c>
      <c r="I32" s="12" t="inlineStr">
        <is>
          <t>Not started</t>
        </is>
      </c>
      <c r="J32" s="14" t="inlineStr"/>
    </row>
    <row r="33">
      <c r="A33" s="11" t="inlineStr"/>
      <c r="B33" s="12" t="inlineStr">
        <is>
          <t>Owned / site</t>
        </is>
      </c>
      <c r="C33" s="12" t="n"/>
      <c r="D33" s="14" t="inlineStr">
        <is>
          <t>Bundle and gift-tier stills, 12 (4:5, 1:1)</t>
        </is>
      </c>
      <c r="E33" s="12" t="inlineStr">
        <is>
          <t>Stills</t>
        </is>
      </c>
      <c r="F33" s="12" t="inlineStr"/>
      <c r="G33" s="12" t="inlineStr">
        <is>
          <t>Creative [name]</t>
        </is>
      </c>
      <c r="H33" s="12" t="n"/>
      <c r="I33" s="12" t="inlineStr">
        <is>
          <t>Not started</t>
        </is>
      </c>
      <c r="J33" s="14" t="inlineStr">
        <is>
          <t>Due Shot</t>
        </is>
      </c>
    </row>
  </sheetData>
  <autoFilter ref="A4:J4"/>
  <conditionalFormatting sqref="A5:J33">
    <cfRule type="expression" priority="1" dxfId="0">
      <formula>$A5="Yes"</formula>
    </cfRule>
  </conditionalFormatting>
  <dataValidations count="2">
    <dataValidation sqref="A5:A33" showDropDown="0" showInputMessage="0" showErrorMessage="0" allowBlank="1" type="list">
      <formula1>"Yes,"</formula1>
    </dataValidation>
    <dataValidation sqref="I5:I33" showDropDown="0" showInputMessage="0" showErrorMessage="0" allowBlank="1" type="list">
      <formula1>"Not started,In progress,In review,Done,Blocked"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2026-10-19T21:48:16Z</dcterms:created>
  <dcterms:modified xsi:type="dcterms:W3CDTF">2026-10-19T21:48:16Z</dcterms:modified>
</cp:coreProperties>
</file>